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arametros" sheetId="2" state="visible" r:id="rId2"/>
    <sheet name="Calculos" sheetId="3" state="visible" r:id="rId3"/>
    <sheet name="Output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CALCULATOR - INPUTS</t>
        </is>
      </c>
    </row>
    <row r="2">
      <c r="A2" s="2" t="inlineStr">
        <is>
          <t>Variable</t>
        </is>
      </c>
      <c r="C2" s="2" t="inlineStr">
        <is>
          <t>Valor</t>
        </is>
      </c>
      <c r="D2" s="2" t="inlineStr">
        <is>
          <t>Descripción</t>
        </is>
      </c>
    </row>
    <row r="3">
      <c r="A3" t="inlineStr">
        <is>
          <t>org_size</t>
        </is>
      </c>
      <c r="C3" t="n">
        <v>50</v>
      </c>
      <c r="D3" t="inlineStr">
        <is>
          <t>Número de personas</t>
        </is>
      </c>
    </row>
    <row r="4">
      <c r="A4" t="inlineStr">
        <is>
          <t>context_complexity</t>
        </is>
      </c>
      <c r="C4" t="n">
        <v>3</v>
      </c>
      <c r="D4" t="inlineStr">
        <is>
          <t>Escala 1-5</t>
        </is>
      </c>
    </row>
    <row r="5">
      <c r="A5" t="inlineStr">
        <is>
          <t>budget_available</t>
        </is>
      </c>
      <c r="C5" t="n">
        <v>50000000</v>
      </c>
      <c r="D5" t="inlineStr">
        <is>
          <t>CLP/USD</t>
        </is>
      </c>
    </row>
    <row r="6">
      <c r="A6" t="inlineStr">
        <is>
          <t>current_state_maturity</t>
        </is>
      </c>
      <c r="C6" t="n">
        <v>2</v>
      </c>
      <c r="D6" t="inlineStr">
        <is>
          <t>Escala 1-5</t>
        </is>
      </c>
    </row>
    <row r="7">
      <c r="A7" t="inlineStr">
        <is>
          <t>strategic_clarity</t>
        </is>
      </c>
      <c r="C7" t="n">
        <v>60</v>
      </c>
      <c r="D7" t="inlineStr">
        <is>
          <t>% (0-100)</t>
        </is>
      </c>
    </row>
    <row r="8">
      <c r="A8" t="inlineStr">
        <is>
          <t>TF1_capacity_deployed</t>
        </is>
      </c>
      <c r="C8" t="n">
        <v>40</v>
      </c>
      <c r="D8" t="inlineStr">
        <is>
          <t>% capacidades desplegadas</t>
        </is>
      </c>
    </row>
    <row r="9">
      <c r="A9" t="inlineStr">
        <is>
          <t>TF2_flow_instrumented</t>
        </is>
      </c>
      <c r="C9" t="n">
        <v>30</v>
      </c>
      <c r="D9" t="inlineStr">
        <is>
          <t>% flujos instrumentados</t>
        </is>
      </c>
    </row>
    <row r="10">
      <c r="A10" t="inlineStr">
        <is>
          <t>TF3_info_governed</t>
        </is>
      </c>
      <c r="C10" t="n">
        <v>25</v>
      </c>
      <c r="D10" t="inlineStr">
        <is>
          <t>% info gobernada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 Y PESOS</t>
        </is>
      </c>
    </row>
    <row r="2">
      <c r="A2" s="3" t="inlineStr">
        <is>
          <t>Parámetro</t>
        </is>
      </c>
      <c r="C2" s="3" t="inlineStr">
        <is>
          <t>Valor</t>
        </is>
      </c>
      <c r="D2" s="3" t="inlineStr">
        <is>
          <t>Descripción</t>
        </is>
      </c>
    </row>
    <row r="3">
      <c r="A3" t="inlineStr">
        <is>
          <t>w_A</t>
        </is>
      </c>
      <c r="C3" t="n">
        <v>0.33</v>
      </c>
      <c r="D3" t="inlineStr">
        <is>
          <t>Peso Alignment</t>
        </is>
      </c>
    </row>
    <row r="4">
      <c r="A4" t="inlineStr">
        <is>
          <t>w_P</t>
        </is>
      </c>
      <c r="C4" t="n">
        <v>0.33</v>
      </c>
      <c r="D4" t="inlineStr">
        <is>
          <t>Peso Performance</t>
        </is>
      </c>
    </row>
    <row r="5">
      <c r="A5" t="inlineStr">
        <is>
          <t>w_D</t>
        </is>
      </c>
      <c r="C5" t="n">
        <v>0.34</v>
      </c>
      <c r="D5" t="inlineStr">
        <is>
          <t>Peso Development</t>
        </is>
      </c>
    </row>
    <row r="6">
      <c r="A6" t="inlineStr"/>
      <c r="C6" t="inlineStr"/>
      <c r="D6" t="inlineStr"/>
    </row>
    <row r="7">
      <c r="A7" t="inlineStr">
        <is>
          <t>TF1_weight</t>
        </is>
      </c>
      <c r="C7" t="n">
        <v>0.4</v>
      </c>
      <c r="D7" t="inlineStr">
        <is>
          <t>Peso tejido TF1 (Capacity)</t>
        </is>
      </c>
    </row>
    <row r="8">
      <c r="A8" t="inlineStr">
        <is>
          <t>TF2_weight</t>
        </is>
      </c>
      <c r="C8" t="n">
        <v>0.35</v>
      </c>
      <c r="D8" t="inlineStr">
        <is>
          <t>Peso tejido TF2 (Flow)</t>
        </is>
      </c>
    </row>
    <row r="9">
      <c r="A9" t="inlineStr">
        <is>
          <t>TF3_weight</t>
        </is>
      </c>
      <c r="C9" t="n">
        <v>0.25</v>
      </c>
      <c r="D9" t="inlineStr">
        <is>
          <t>Peso tejido TF3 (Information)</t>
        </is>
      </c>
    </row>
    <row r="10">
      <c r="A10" t="inlineStr"/>
      <c r="C10" t="inlineStr"/>
      <c r="D10" t="inlineStr"/>
    </row>
    <row r="11">
      <c r="A11" t="inlineStr">
        <is>
          <t>maturity_floor</t>
        </is>
      </c>
      <c r="C11" t="n">
        <v>0.35</v>
      </c>
      <c r="D11" t="inlineStr">
        <is>
          <t>H_org mínimo viable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CALCULOS INTERMEDIOS</t>
        </is>
      </c>
    </row>
    <row r="2">
      <c r="A2" s="3" t="inlineStr">
        <is>
          <t>Métrica</t>
        </is>
      </c>
      <c r="C2" s="3" t="inlineStr">
        <is>
          <t>Valor</t>
        </is>
      </c>
    </row>
    <row r="3">
      <c r="A3" t="inlineStr">
        <is>
          <t>TF1_Score</t>
        </is>
      </c>
      <c r="C3">
        <f>Inputs!C8/100</f>
        <v/>
      </c>
    </row>
    <row r="4">
      <c r="A4" t="inlineStr">
        <is>
          <t>TF2_Score</t>
        </is>
      </c>
      <c r="C4">
        <f>Inputs!C9/100</f>
        <v/>
      </c>
    </row>
    <row r="5">
      <c r="A5" t="inlineStr">
        <is>
          <t>TF3_Score</t>
        </is>
      </c>
      <c r="C5">
        <f>Inputs!C10/100</f>
        <v/>
      </c>
    </row>
    <row r="7">
      <c r="A7" t="inlineStr">
        <is>
          <t>A_Score</t>
        </is>
      </c>
      <c r="C7">
        <f>(Inputs!C7/100)*0.6 + C3*0.4</f>
        <v/>
      </c>
    </row>
    <row r="8">
      <c r="A8" t="inlineStr">
        <is>
          <t>P_Score</t>
        </is>
      </c>
      <c r="C8">
        <f>C4*0.7 + (Inputs!C6/5)*0.3</f>
        <v/>
      </c>
    </row>
    <row r="9">
      <c r="A9" t="inlineStr">
        <is>
          <t>D_Score</t>
        </is>
      </c>
      <c r="C9">
        <f>C5*0.5 + (1-(Inputs!C3/1000))*0.3 + 0.2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OUTPUTS - HEALTH SCORE</t>
        </is>
      </c>
    </row>
    <row r="2">
      <c r="A2" s="3" t="inlineStr">
        <is>
          <t>Métrica</t>
        </is>
      </c>
      <c r="C2" s="3" t="inlineStr">
        <is>
          <t>Valor</t>
        </is>
      </c>
    </row>
    <row r="3">
      <c r="A3" t="inlineStr">
        <is>
          <t>H_org</t>
        </is>
      </c>
      <c r="C3" s="4">
        <f>Parametros!C3*Calculos!C7 + Parametros!C4*Calculos!C8 + Parametros!C5*Calculos!C9</f>
        <v/>
      </c>
    </row>
    <row r="4">
      <c r="A4" t="inlineStr">
        <is>
          <t>Health_Band</t>
        </is>
      </c>
      <c r="C4">
        <f>IF(C3&lt;0.35,"G1-Crítico",IF(C3&lt;0.55,"G2-Bajo",IF(C3&lt;0.75,"G3-Aceptable","G4-Saludable")))</f>
        <v/>
      </c>
    </row>
    <row r="6">
      <c r="A6" t="inlineStr">
        <is>
          <t>A_Score</t>
        </is>
      </c>
      <c r="C6" s="4">
        <f>Calculos!C7</f>
        <v/>
      </c>
    </row>
    <row r="7">
      <c r="A7" t="inlineStr">
        <is>
          <t>P_Score</t>
        </is>
      </c>
      <c r="C7" s="4">
        <f>Calculos!C8</f>
        <v/>
      </c>
    </row>
    <row r="8">
      <c r="A8" t="inlineStr">
        <is>
          <t>D_Score</t>
        </is>
      </c>
      <c r="C8" s="4">
        <f>Calculos!C9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Y TRAZABILIDAD</t>
        </is>
      </c>
    </row>
    <row r="3">
      <c r="A3" t="inlineStr">
        <is>
          <t>Version</t>
        </is>
      </c>
      <c r="C3" t="inlineStr">
        <is>
          <t>1.0.0-CAP22</t>
        </is>
      </c>
    </row>
    <row r="4">
      <c r="A4" t="inlineStr">
        <is>
          <t>Fecha</t>
        </is>
      </c>
      <c r="C4" t="inlineStr">
        <is>
          <t>2025-11-18</t>
        </is>
      </c>
    </row>
    <row r="5">
      <c r="A5" t="inlineStr">
        <is>
          <t>Fuente</t>
        </is>
      </c>
      <c r="C5" t="inlineStr">
        <is>
          <t>CALCULADORAS_P0_SPEC.md § 3.1</t>
        </is>
      </c>
    </row>
    <row r="7">
      <c r="A7" t="inlineStr">
        <is>
          <t>Trazabilidad genoma:</t>
        </is>
      </c>
    </row>
    <row r="8">
      <c r="A8" t="inlineStr">
        <is>
          <t>- Teorema T6 (salud organizacional)</t>
        </is>
      </c>
    </row>
    <row r="9">
      <c r="A9" t="inlineStr">
        <is>
          <t>- Tejidos TF1/TF2/TF3</t>
        </is>
      </c>
    </row>
    <row r="10">
      <c r="A10" t="inlineStr">
        <is>
          <t>- Invariante I6 (convergencia)</t>
        </is>
      </c>
    </row>
    <row r="11">
      <c r="A11" t="inlineStr">
        <is>
          <t>- Primitivos P1/P2/P3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2025-11-17T16:55:27Z</dcterms:created>
  <dcterms:modified xsi:type="dcterms:W3CDTF">2025-11-17T16:55:27Z</dcterms:modified>
</cp:coreProperties>
</file>